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Program Files\VSCode\Projetos\PFinalCS50\"/>
    </mc:Choice>
  </mc:AlternateContent>
  <xr:revisionPtr revIDLastSave="0" documentId="8_{1EB7E0A0-93E0-406B-AE2D-A28502DF87A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ceitas" sheetId="1" r:id="rId1"/>
    <sheet name="Precos" sheetId="2" r:id="rId2"/>
    <sheet name="ListaQuantidade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5" i="3"/>
  <c r="D3" i="3"/>
  <c r="D2" i="3"/>
  <c r="D16" i="3"/>
  <c r="C3" i="3"/>
  <c r="C4" i="3"/>
  <c r="D4" i="3" s="1"/>
  <c r="C5" i="3"/>
  <c r="C6" i="3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C17" i="3"/>
  <c r="D17" i="3" s="1"/>
  <c r="C18" i="3"/>
  <c r="D18" i="3" s="1"/>
  <c r="C19" i="3"/>
  <c r="D19" i="3" s="1"/>
  <c r="C20" i="3"/>
  <c r="D20" i="3" s="1"/>
  <c r="C21" i="3"/>
  <c r="D21" i="3" s="1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" i="3"/>
  <c r="D2" i="1"/>
  <c r="D81" i="1"/>
  <c r="D80" i="1"/>
  <c r="D79" i="1"/>
  <c r="D78" i="1"/>
  <c r="D77" i="1"/>
  <c r="D76" i="1"/>
  <c r="D75" i="1"/>
  <c r="D74" i="1"/>
  <c r="D73" i="1"/>
  <c r="E51" i="1"/>
  <c r="D71" i="1"/>
  <c r="D70" i="1"/>
  <c r="E71" i="1" s="1"/>
  <c r="D69" i="1"/>
  <c r="D68" i="1"/>
  <c r="D67" i="1"/>
  <c r="D66" i="1"/>
  <c r="D65" i="1"/>
  <c r="D64" i="1"/>
  <c r="D63" i="1"/>
  <c r="D61" i="1"/>
  <c r="D58" i="1"/>
  <c r="D60" i="1"/>
  <c r="D59" i="1"/>
  <c r="D57" i="1"/>
  <c r="D56" i="1"/>
  <c r="D55" i="1"/>
  <c r="D54" i="1"/>
  <c r="D53" i="1"/>
  <c r="E61" i="1" s="1"/>
  <c r="D47" i="1"/>
  <c r="D46" i="1"/>
  <c r="D48" i="1"/>
  <c r="D49" i="1"/>
  <c r="D50" i="1"/>
  <c r="D51" i="1"/>
  <c r="D29" i="1"/>
  <c r="D45" i="1"/>
  <c r="D43" i="1"/>
  <c r="D42" i="1"/>
  <c r="D41" i="1"/>
  <c r="D40" i="1"/>
  <c r="D39" i="1"/>
  <c r="D38" i="1"/>
  <c r="D37" i="1"/>
  <c r="E43" i="1" s="1"/>
  <c r="D35" i="1"/>
  <c r="E35" i="1" s="1"/>
  <c r="D34" i="1"/>
  <c r="D33" i="1"/>
  <c r="D32" i="1"/>
  <c r="D31" i="1"/>
  <c r="D30" i="1"/>
  <c r="D8" i="1"/>
  <c r="D26" i="1"/>
  <c r="D25" i="1"/>
  <c r="D3" i="1"/>
  <c r="D4" i="1"/>
  <c r="D5" i="1"/>
  <c r="D6" i="1"/>
  <c r="D7" i="1"/>
  <c r="D9" i="1"/>
  <c r="D11" i="1"/>
  <c r="E18" i="1" s="1"/>
  <c r="D12" i="1"/>
  <c r="D13" i="1"/>
  <c r="D14" i="1"/>
  <c r="D15" i="1"/>
  <c r="D16" i="1"/>
  <c r="D17" i="1"/>
  <c r="D18" i="1"/>
  <c r="D20" i="1"/>
  <c r="D21" i="1"/>
  <c r="D22" i="1"/>
  <c r="D23" i="1"/>
  <c r="D24" i="1"/>
  <c r="D27" i="1"/>
  <c r="E27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E9" i="1" l="1"/>
  <c r="D22" i="3"/>
  <c r="E81" i="1"/>
</calcChain>
</file>

<file path=xl/sharedStrings.xml><?xml version="1.0" encoding="utf-8"?>
<sst xmlns="http://schemas.openxmlformats.org/spreadsheetml/2006/main" count="143" uniqueCount="41">
  <si>
    <t>Ingredientes</t>
  </si>
  <si>
    <t>Preco</t>
  </si>
  <si>
    <t>Ingrediente</t>
  </si>
  <si>
    <t>OndeComprar</t>
  </si>
  <si>
    <t>Ingreditentes</t>
  </si>
  <si>
    <t>Mar Vermelho</t>
  </si>
  <si>
    <t>Arroz</t>
  </si>
  <si>
    <t>Cenoura</t>
  </si>
  <si>
    <t>Cebola</t>
  </si>
  <si>
    <t>Batata Doce</t>
  </si>
  <si>
    <t>Alho</t>
  </si>
  <si>
    <t>Repolho</t>
  </si>
  <si>
    <t>Mussarela</t>
  </si>
  <si>
    <t>Extrato de Tomate</t>
  </si>
  <si>
    <t>Frango</t>
  </si>
  <si>
    <t>Leite</t>
  </si>
  <si>
    <t>Brocolis</t>
  </si>
  <si>
    <t>Couve Flor</t>
  </si>
  <si>
    <t>Abobrinha</t>
  </si>
  <si>
    <t>Carne</t>
  </si>
  <si>
    <t>Molho de Tomate</t>
  </si>
  <si>
    <t>Assaí</t>
  </si>
  <si>
    <t>Mineirão</t>
  </si>
  <si>
    <t>Farinha</t>
  </si>
  <si>
    <t>Manteiga</t>
  </si>
  <si>
    <t>Quantidade</t>
  </si>
  <si>
    <t>Estrogonof de Frango</t>
  </si>
  <si>
    <t>Estrogonof de Carne</t>
  </si>
  <si>
    <t>Estrogonof de Cogumelos</t>
  </si>
  <si>
    <t>Cogumelos</t>
  </si>
  <si>
    <t>Menor Preço</t>
  </si>
  <si>
    <t>Tradicional de Frango</t>
  </si>
  <si>
    <t>Tradicional de Carne</t>
  </si>
  <si>
    <t>Tradicional de Cogumelos</t>
  </si>
  <si>
    <t>Macarrão Carne</t>
  </si>
  <si>
    <t>Macarrao</t>
  </si>
  <si>
    <t>Oleo</t>
  </si>
  <si>
    <t>Linguica</t>
  </si>
  <si>
    <t>Total</t>
  </si>
  <si>
    <t>Macarrão Linguiça</t>
  </si>
  <si>
    <t>Macarrão Cogumelos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</si>
</sst>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8" formatCode="0.0&quot; g&quot;"/>
  </numFmts>
  <fonts count="4" x14ac:knownFonts="1">
    <font>
      <sz val="11"/>
      <color theme="1"/>
      <name val="Calisto MT"/>
      <family val="2"/>
      <scheme val="minor"/>
    </font>
    <font>
      <sz val="11"/>
      <color theme="1"/>
      <name val="Calisto MT"/>
      <family val="2"/>
      <scheme val="minor"/>
    </font>
    <font>
      <b/>
      <sz val="15"/>
      <color theme="3"/>
      <name val="Calisto MT"/>
      <family val="2"/>
      <scheme val="minor"/>
    </font>
    <font>
      <b/>
      <sz val="13"/>
      <color theme="3"/>
      <name val="Calisto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14">
    <xf numFmtId="0" fontId="0" fillId="0" borderId="0" xfId="0"/>
    <xf numFmtId="44" fontId="0" fillId="0" borderId="0" xfId="1" applyFont="1"/>
    <xf numFmtId="0" fontId="0" fillId="2" borderId="0" xfId="0" applyFill="1"/>
    <xf numFmtId="0" fontId="3" fillId="3" borderId="3" xfId="3" applyFill="1" applyBorder="1" applyAlignment="1">
      <alignment horizontal="center"/>
    </xf>
    <xf numFmtId="0" fontId="2" fillId="3" borderId="1" xfId="2" applyFill="1" applyAlignment="1">
      <alignment horizontal="center"/>
    </xf>
    <xf numFmtId="44" fontId="0" fillId="4" borderId="0" xfId="1" applyFont="1" applyFill="1"/>
    <xf numFmtId="44" fontId="0" fillId="0" borderId="0" xfId="0" applyNumberFormat="1"/>
    <xf numFmtId="0" fontId="3" fillId="2" borderId="3" xfId="3" applyFill="1" applyBorder="1" applyAlignment="1">
      <alignment horizontal="center"/>
    </xf>
    <xf numFmtId="44" fontId="0" fillId="2" borderId="0" xfId="0" applyNumberFormat="1" applyFill="1"/>
    <xf numFmtId="168" fontId="0" fillId="0" borderId="0" xfId="0" applyNumberFormat="1"/>
    <xf numFmtId="168" fontId="0" fillId="2" borderId="0" xfId="0" applyNumberFormat="1" applyFill="1"/>
    <xf numFmtId="0" fontId="3" fillId="3" borderId="4" xfId="3" applyFill="1" applyBorder="1" applyAlignment="1">
      <alignment horizontal="center" vertical="center"/>
    </xf>
    <xf numFmtId="0" fontId="3" fillId="3" borderId="5" xfId="3" applyFill="1" applyBorder="1" applyAlignment="1">
      <alignment horizontal="center" vertical="center"/>
    </xf>
    <xf numFmtId="0" fontId="3" fillId="3" borderId="6" xfId="3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Título 1" xfId="2" builtinId="16"/>
    <cellStyle name="Título 2" xfId="3" builtinId="17"/>
  </cellStyles>
  <dxfs count="4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92D050"/>
      <color rgb="FFD5BF6D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883E36-1C1D-48AD-82FF-371E9527EF91}" name="Tabela2" displayName="Tabela2" ref="B1:D1048576" totalsRowShown="0" headerRowDxfId="2" headerRowCellStyle="Título 1">
  <autoFilter ref="B1:D1048576" xr:uid="{84883E36-1C1D-48AD-82FF-371E9527EF91}"/>
  <sortState xmlns:xlrd2="http://schemas.microsoft.com/office/spreadsheetml/2017/richdata2" ref="B2:D1048576">
    <sortCondition ref="B1:B1048576"/>
  </sortState>
  <tableColumns count="3">
    <tableColumn id="1" xr3:uid="{BA494CD7-5295-4B05-961F-A2BC959382BB}" name="Ingredientes"/>
    <tableColumn id="2" xr3:uid="{C72380E8-F9C9-48C4-8FCD-B292B9E142FB}" name="Quantidade"/>
    <tableColumn id="3" xr3:uid="{13275B1C-6FEC-4962-87A7-95D51C38FA0A}" name="Preco" dataDxfId="1">
      <calculatedColumnFormula>Tabela1[[#This Row],[Menor Preço]]*C3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B5F81-3E49-47BC-B78E-1E30F539EB9B}" name="Tabela1" displayName="Tabela1" ref="A1:E21" totalsRowShown="0">
  <autoFilter ref="A1:E21" xr:uid="{17CB5F81-3E49-47BC-B78E-1E30F539EB9B}"/>
  <tableColumns count="5">
    <tableColumn id="1" xr3:uid="{0B661470-0242-4DC9-BA4E-3E6D64EB2D47}" name="Ingrediente"/>
    <tableColumn id="2" xr3:uid="{4D95230B-3977-41D9-A0CF-74315E92A291}" name="Mar Vermelho" dataCellStyle="Moeda"/>
    <tableColumn id="3" xr3:uid="{A1898E3F-1D6F-48E7-9F40-F32B8087A24A}" name="Assaí" dataCellStyle="Moeda"/>
    <tableColumn id="4" xr3:uid="{FCDE4DC3-E337-4731-9CCC-CCAD40D72BA1}" name="Mineirão" dataCellStyle="Moeda"/>
    <tableColumn id="5" xr3:uid="{FB6078FA-0EA4-4D01-A5C1-0A8F368364BB}" name="Menor Preço" dataDxfId="3" dataCellStyle="Moeda">
      <calculatedColumnFormula>MIN($B2:$D2)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DB5648-0F28-4D9B-94A9-D94F933EE864}" name="Tabela3" displayName="Tabela3" ref="A1:D22" totalsRowShown="0">
  <autoFilter ref="A1:D22" xr:uid="{F0DB5648-0F28-4D9B-94A9-D94F933EE864}"/>
  <tableColumns count="4">
    <tableColumn id="1" xr3:uid="{2C2F1105-C042-49CE-8D27-591715B8E762}" name="Ingreditentes"/>
    <tableColumn id="2" xr3:uid="{54675FDC-8635-49DF-AD87-827314E29B15}" name="OndeComprar"/>
    <tableColumn id="3" xr3:uid="{CC745692-6D06-466B-9D69-2F7185F14171}" name="Quantidade"/>
    <tableColumn id="4" xr3:uid="{AB5A666A-9350-4BCB-A78D-DC2E0BAE7E84}" name="Preco" dataDxfId="0"/>
  </tableColumns>
  <tableStyleInfo name="TableStyleMedium1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rdósia">
  <a:themeElements>
    <a:clrScheme name="Ardósia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Ardósia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rdósia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E82"/>
  <sheetViews>
    <sheetView workbookViewId="0">
      <selection activeCell="D2" sqref="D2"/>
    </sheetView>
  </sheetViews>
  <sheetFormatPr defaultRowHeight="16.8" x14ac:dyDescent="0.3"/>
  <cols>
    <col min="1" max="1" width="31.5546875" style="3" customWidth="1"/>
    <col min="2" max="2" width="32.5546875" customWidth="1"/>
    <col min="3" max="3" width="27.21875" customWidth="1"/>
    <col min="4" max="4" width="38.77734375" style="6" customWidth="1"/>
  </cols>
  <sheetData>
    <row r="1" spans="1:5" ht="22.2" customHeight="1" thickBot="1" x14ac:dyDescent="0.4">
      <c r="B1" s="4" t="s">
        <v>0</v>
      </c>
      <c r="C1" s="4" t="s">
        <v>25</v>
      </c>
      <c r="D1" s="4" t="s">
        <v>1</v>
      </c>
    </row>
    <row r="2" spans="1:5" ht="17.399999999999999" customHeight="1" thickTop="1" x14ac:dyDescent="0.25">
      <c r="A2" s="11" t="s">
        <v>26</v>
      </c>
      <c r="B2" t="s">
        <v>10</v>
      </c>
      <c r="C2" s="9">
        <v>10</v>
      </c>
      <c r="D2" s="6">
        <f>_xlfn.MINIFS(Precos!$E:$E, Precos!$A:$A, B2)/1000*C2</f>
        <v>0.19800000000000001</v>
      </c>
    </row>
    <row r="3" spans="1:5" ht="16.8" customHeight="1" x14ac:dyDescent="0.25">
      <c r="A3" s="12"/>
      <c r="B3" t="s">
        <v>6</v>
      </c>
      <c r="C3" s="9">
        <v>70</v>
      </c>
      <c r="D3" s="6">
        <f>_xlfn.MINIFS(Precos!$E:$E, Precos!$A:$A, B3)/1000*C3</f>
        <v>0.29959999999999998</v>
      </c>
    </row>
    <row r="4" spans="1:5" ht="16.8" customHeight="1" x14ac:dyDescent="0.25">
      <c r="A4" s="12"/>
      <c r="B4" t="s">
        <v>9</v>
      </c>
      <c r="C4" s="9">
        <v>80</v>
      </c>
      <c r="D4" s="6">
        <f>_xlfn.MINIFS(Precos!$E:$E, Precos!$A:$A, B4)/1000*C4</f>
        <v>0.2384</v>
      </c>
    </row>
    <row r="5" spans="1:5" ht="16.8" customHeight="1" x14ac:dyDescent="0.25">
      <c r="A5" s="12"/>
      <c r="B5" t="s">
        <v>8</v>
      </c>
      <c r="C5" s="9">
        <v>60</v>
      </c>
      <c r="D5" s="6">
        <f>_xlfn.MINIFS(Precos!$E:$E, Precos!$A:$A, B5)/1000*C5</f>
        <v>0.1188</v>
      </c>
    </row>
    <row r="6" spans="1:5" ht="16.8" customHeight="1" x14ac:dyDescent="0.25">
      <c r="A6" s="12"/>
      <c r="B6" t="s">
        <v>14</v>
      </c>
      <c r="C6" s="9">
        <v>140</v>
      </c>
      <c r="D6" s="6">
        <f>_xlfn.MINIFS(Precos!$E:$E, Precos!$A:$A, B6)/1000*C6</f>
        <v>2.7972000000000001</v>
      </c>
    </row>
    <row r="7" spans="1:5" ht="16.8" customHeight="1" x14ac:dyDescent="0.25">
      <c r="A7" s="12"/>
      <c r="B7" t="s">
        <v>15</v>
      </c>
      <c r="C7" s="9">
        <v>40</v>
      </c>
      <c r="D7" s="6">
        <f>_xlfn.MINIFS(Precos!$E:$E, Precos!$A:$A, B7)/1000*C7</f>
        <v>0.17119999999999999</v>
      </c>
    </row>
    <row r="8" spans="1:5" ht="16.8" customHeight="1" x14ac:dyDescent="0.25">
      <c r="A8" s="12"/>
      <c r="B8" t="s">
        <v>24</v>
      </c>
      <c r="C8" s="9">
        <v>8</v>
      </c>
      <c r="D8" s="6">
        <f>_xlfn.MINIFS(Precos!$E:$E, Precos!$A:$A, B8)/200*C8</f>
        <v>0.54</v>
      </c>
      <c r="E8" t="s">
        <v>38</v>
      </c>
    </row>
    <row r="9" spans="1:5" ht="16.8" customHeight="1" x14ac:dyDescent="0.25">
      <c r="A9" s="13"/>
      <c r="B9" t="s">
        <v>11</v>
      </c>
      <c r="C9" s="9">
        <v>80</v>
      </c>
      <c r="D9" s="6">
        <f>_xlfn.MINIFS(Precos!$E:$E, Precos!$A:$A, B9)/1000*C9</f>
        <v>0.2384</v>
      </c>
      <c r="E9" s="6">
        <f>SUM(D1:D9)</f>
        <v>4.6016000000000004</v>
      </c>
    </row>
    <row r="10" spans="1:5" x14ac:dyDescent="0.3">
      <c r="A10" s="7">
        <v>1</v>
      </c>
      <c r="B10" s="2"/>
      <c r="C10" s="10"/>
      <c r="D10" s="2"/>
    </row>
    <row r="11" spans="1:5" ht="16.8" customHeight="1" x14ac:dyDescent="0.25">
      <c r="A11" s="11" t="s">
        <v>27</v>
      </c>
      <c r="B11" t="s">
        <v>10</v>
      </c>
      <c r="C11" s="9">
        <v>10</v>
      </c>
      <c r="D11" s="6">
        <f>_xlfn.MINIFS(Precos!$E:$E, Precos!$A:$A, B11)/1000*C11</f>
        <v>0.19800000000000001</v>
      </c>
    </row>
    <row r="12" spans="1:5" ht="16.8" customHeight="1" x14ac:dyDescent="0.25">
      <c r="A12" s="12"/>
      <c r="B12" t="s">
        <v>6</v>
      </c>
      <c r="C12" s="9">
        <v>70</v>
      </c>
      <c r="D12" s="6">
        <f>_xlfn.MINIFS(Precos!$E:$E, Precos!$A:$A, B12)/1000*C12</f>
        <v>0.29959999999999998</v>
      </c>
    </row>
    <row r="13" spans="1:5" ht="16.8" customHeight="1" x14ac:dyDescent="0.25">
      <c r="A13" s="12"/>
      <c r="B13" t="s">
        <v>9</v>
      </c>
      <c r="C13" s="9">
        <v>80</v>
      </c>
      <c r="D13" s="6">
        <f>_xlfn.MINIFS(Precos!$E:$E, Precos!$A:$A, B13)/1000*C13</f>
        <v>0.2384</v>
      </c>
    </row>
    <row r="14" spans="1:5" ht="16.8" customHeight="1" x14ac:dyDescent="0.25">
      <c r="A14" s="12"/>
      <c r="B14" t="s">
        <v>8</v>
      </c>
      <c r="C14" s="9">
        <v>60</v>
      </c>
      <c r="D14" s="6">
        <f>_xlfn.MINIFS(Precos!$E:$E, Precos!$A:$A, B14)/1000*C14</f>
        <v>0.1188</v>
      </c>
    </row>
    <row r="15" spans="1:5" ht="16.8" customHeight="1" x14ac:dyDescent="0.25">
      <c r="A15" s="12"/>
      <c r="B15" t="s">
        <v>19</v>
      </c>
      <c r="C15" s="9">
        <v>140</v>
      </c>
      <c r="D15" s="6">
        <f>_xlfn.MINIFS(Precos!$E:$E, Precos!$A:$A, B15)/1000*C15</f>
        <v>3.6259999999999999</v>
      </c>
    </row>
    <row r="16" spans="1:5" ht="16.8" customHeight="1" x14ac:dyDescent="0.25">
      <c r="A16" s="12"/>
      <c r="B16" t="s">
        <v>15</v>
      </c>
      <c r="C16" s="9">
        <v>40</v>
      </c>
      <c r="D16" s="6">
        <f>_xlfn.MINIFS(Precos!$E:$E, Precos!$A:$A, B16)/1000*C16</f>
        <v>0.17119999999999999</v>
      </c>
    </row>
    <row r="17" spans="1:5" ht="16.8" customHeight="1" x14ac:dyDescent="0.25">
      <c r="A17" s="12"/>
      <c r="B17" t="s">
        <v>24</v>
      </c>
      <c r="C17" s="9">
        <v>8</v>
      </c>
      <c r="D17" s="6">
        <f>_xlfn.MINIFS(Precos!$E:$E, Precos!$A:$A, B17)/1000*C17</f>
        <v>0.108</v>
      </c>
      <c r="E17" t="s">
        <v>38</v>
      </c>
    </row>
    <row r="18" spans="1:5" ht="16.8" customHeight="1" x14ac:dyDescent="0.25">
      <c r="A18" s="13"/>
      <c r="B18" t="s">
        <v>11</v>
      </c>
      <c r="C18" s="9">
        <v>80</v>
      </c>
      <c r="D18" s="6">
        <f>_xlfn.MINIFS(Precos!$E:$E, Precos!$A:$A, B18)/1000*C18</f>
        <v>0.2384</v>
      </c>
      <c r="E18" s="6">
        <f>SUM(D11:D18)</f>
        <v>4.9984000000000002</v>
      </c>
    </row>
    <row r="19" spans="1:5" x14ac:dyDescent="0.3">
      <c r="A19" s="7">
        <v>1</v>
      </c>
      <c r="B19" s="2"/>
      <c r="C19" s="10"/>
      <c r="D19" s="2"/>
    </row>
    <row r="20" spans="1:5" ht="16.8" customHeight="1" x14ac:dyDescent="0.25">
      <c r="A20" s="11" t="s">
        <v>28</v>
      </c>
      <c r="B20" t="s">
        <v>10</v>
      </c>
      <c r="C20" s="9">
        <v>10</v>
      </c>
      <c r="D20" s="6">
        <f>_xlfn.MINIFS(Precos!$E:$E, Precos!$A:$A, B20)/1000*C20</f>
        <v>0.19800000000000001</v>
      </c>
    </row>
    <row r="21" spans="1:5" ht="16.8" customHeight="1" x14ac:dyDescent="0.25">
      <c r="A21" s="12"/>
      <c r="B21" t="s">
        <v>6</v>
      </c>
      <c r="C21" s="9">
        <v>70</v>
      </c>
      <c r="D21" s="6">
        <f>_xlfn.MINIFS(Precos!$E:$E, Precos!$A:$A, B21)/1000*C21</f>
        <v>0.29959999999999998</v>
      </c>
    </row>
    <row r="22" spans="1:5" ht="16.8" customHeight="1" x14ac:dyDescent="0.25">
      <c r="A22" s="12"/>
      <c r="B22" t="s">
        <v>9</v>
      </c>
      <c r="C22" s="9">
        <v>80</v>
      </c>
      <c r="D22" s="6">
        <f>_xlfn.MINIFS(Precos!$E:$E, Precos!$A:$A, B22)/1000*C22</f>
        <v>0.2384</v>
      </c>
    </row>
    <row r="23" spans="1:5" ht="16.8" customHeight="1" x14ac:dyDescent="0.25">
      <c r="A23" s="12"/>
      <c r="B23" t="s">
        <v>8</v>
      </c>
      <c r="C23" s="9">
        <v>60</v>
      </c>
      <c r="D23" s="6">
        <f>_xlfn.MINIFS(Precos!$E:$E, Precos!$A:$A, B23)/1000*C23</f>
        <v>0.1188</v>
      </c>
    </row>
    <row r="24" spans="1:5" ht="16.8" customHeight="1" x14ac:dyDescent="0.25">
      <c r="A24" s="12"/>
      <c r="B24" t="s">
        <v>29</v>
      </c>
      <c r="C24" s="9">
        <v>140</v>
      </c>
      <c r="D24" s="6">
        <f>_xlfn.MINIFS(Precos!$E:$E, Precos!$A:$A, B24)/1000*C24</f>
        <v>0</v>
      </c>
    </row>
    <row r="25" spans="1:5" ht="16.8" customHeight="1" x14ac:dyDescent="0.25">
      <c r="A25" s="12"/>
      <c r="B25" t="s">
        <v>15</v>
      </c>
      <c r="C25" s="9">
        <v>40</v>
      </c>
      <c r="D25" s="6">
        <f>_xlfn.MINIFS(Precos!$E:$E, Precos!$A:$A, B25)/1000*C25</f>
        <v>0.17119999999999999</v>
      </c>
    </row>
    <row r="26" spans="1:5" ht="16.8" customHeight="1" x14ac:dyDescent="0.25">
      <c r="A26" s="12"/>
      <c r="B26" t="s">
        <v>24</v>
      </c>
      <c r="C26" s="9">
        <v>8</v>
      </c>
      <c r="D26" s="6">
        <f>_xlfn.MINIFS(Precos!$E:$E, Precos!$A:$A, B26)/200*C26</f>
        <v>0.54</v>
      </c>
      <c r="E26" t="s">
        <v>38</v>
      </c>
    </row>
    <row r="27" spans="1:5" ht="16.8" customHeight="1" x14ac:dyDescent="0.25">
      <c r="A27" s="13"/>
      <c r="B27" t="s">
        <v>11</v>
      </c>
      <c r="C27" s="9">
        <v>80</v>
      </c>
      <c r="D27" s="6">
        <f>_xlfn.MINIFS(Precos!$E:$E, Precos!$A:$A, B27)/1000*C27</f>
        <v>0.2384</v>
      </c>
      <c r="E27" s="6">
        <f>SUM(D20:D27)</f>
        <v>1.8044</v>
      </c>
    </row>
    <row r="28" spans="1:5" x14ac:dyDescent="0.3">
      <c r="A28" s="7">
        <v>1</v>
      </c>
      <c r="B28" s="2"/>
      <c r="C28" s="10"/>
      <c r="D28" s="2"/>
    </row>
    <row r="29" spans="1:5" ht="16.8" customHeight="1" x14ac:dyDescent="0.25">
      <c r="A29" s="11" t="s">
        <v>31</v>
      </c>
      <c r="B29" t="s">
        <v>10</v>
      </c>
      <c r="C29" s="9">
        <v>13</v>
      </c>
      <c r="D29" s="6">
        <f>_xlfn.MINIFS(Precos!$E:$E, Precos!$A:$A, B29)/1000*C29</f>
        <v>0.25740000000000002</v>
      </c>
    </row>
    <row r="30" spans="1:5" ht="16.8" customHeight="1" x14ac:dyDescent="0.25">
      <c r="A30" s="12"/>
      <c r="B30" t="s">
        <v>6</v>
      </c>
      <c r="C30" s="9">
        <v>70</v>
      </c>
      <c r="D30" s="6">
        <f>_xlfn.MINIFS(Precos!$E:$E, Precos!$A:$A, B30)/1000*C30</f>
        <v>0.29959999999999998</v>
      </c>
    </row>
    <row r="31" spans="1:5" ht="16.8" customHeight="1" x14ac:dyDescent="0.25">
      <c r="A31" s="12"/>
      <c r="B31" t="s">
        <v>16</v>
      </c>
      <c r="C31" s="9">
        <v>80</v>
      </c>
      <c r="D31" s="6">
        <f>_xlfn.MINIFS(Precos!$E:$E, Precos!$A:$A, B31)/1000*C31</f>
        <v>0.52</v>
      </c>
    </row>
    <row r="32" spans="1:5" ht="16.8" customHeight="1" x14ac:dyDescent="0.25">
      <c r="A32" s="12"/>
      <c r="B32" t="s">
        <v>8</v>
      </c>
      <c r="C32" s="9">
        <v>60</v>
      </c>
      <c r="D32" s="6">
        <f>_xlfn.MINIFS(Precos!$E:$E, Precos!$A:$A, B32)/1000*C32</f>
        <v>0.1188</v>
      </c>
    </row>
    <row r="33" spans="1:5" ht="16.8" customHeight="1" x14ac:dyDescent="0.25">
      <c r="A33" s="12"/>
      <c r="B33" t="s">
        <v>17</v>
      </c>
      <c r="C33" s="9">
        <v>80</v>
      </c>
      <c r="D33" s="6">
        <f>_xlfn.MINIFS(Precos!$E:$E, Precos!$A:$A, B33)/1000*C33</f>
        <v>0</v>
      </c>
    </row>
    <row r="34" spans="1:5" ht="16.8" customHeight="1" x14ac:dyDescent="0.25">
      <c r="A34" s="12"/>
      <c r="B34" t="s">
        <v>14</v>
      </c>
      <c r="C34" s="9">
        <v>140</v>
      </c>
      <c r="D34" s="6">
        <f>_xlfn.MINIFS(Precos!$E:$E, Precos!$A:$A, B34)/1000*C34</f>
        <v>2.7972000000000001</v>
      </c>
      <c r="E34" t="s">
        <v>38</v>
      </c>
    </row>
    <row r="35" spans="1:5" ht="16.8" customHeight="1" x14ac:dyDescent="0.25">
      <c r="A35" s="13"/>
      <c r="B35" t="s">
        <v>12</v>
      </c>
      <c r="C35" s="9">
        <v>20</v>
      </c>
      <c r="D35" s="6">
        <f>_xlfn.MINIFS(Precos!$E:$E, Precos!$A:$A, B35)/1000*C35</f>
        <v>0.6</v>
      </c>
      <c r="E35" s="6">
        <f>SUM(D29:D35)</f>
        <v>4.593</v>
      </c>
    </row>
    <row r="36" spans="1:5" x14ac:dyDescent="0.3">
      <c r="A36" s="7">
        <v>1</v>
      </c>
      <c r="B36" s="2"/>
      <c r="C36" s="10"/>
      <c r="D36" s="2"/>
    </row>
    <row r="37" spans="1:5" ht="16.8" customHeight="1" x14ac:dyDescent="0.25">
      <c r="A37" s="11" t="s">
        <v>32</v>
      </c>
      <c r="B37" t="s">
        <v>10</v>
      </c>
      <c r="C37" s="9">
        <v>13</v>
      </c>
      <c r="D37" s="6">
        <f>_xlfn.MINIFS(Precos!$E:$E, Precos!$A:$A, B37)/1000*C37</f>
        <v>0.25740000000000002</v>
      </c>
    </row>
    <row r="38" spans="1:5" ht="16.8" customHeight="1" x14ac:dyDescent="0.25">
      <c r="A38" s="12"/>
      <c r="B38" t="s">
        <v>6</v>
      </c>
      <c r="C38" s="9">
        <v>70</v>
      </c>
      <c r="D38" s="6">
        <f>_xlfn.MINIFS(Precos!$E:$E, Precos!$A:$A, B38)/1000*C38</f>
        <v>0.29959999999999998</v>
      </c>
    </row>
    <row r="39" spans="1:5" ht="16.8" customHeight="1" x14ac:dyDescent="0.25">
      <c r="A39" s="12"/>
      <c r="B39" t="s">
        <v>16</v>
      </c>
      <c r="C39" s="9">
        <v>80</v>
      </c>
      <c r="D39" s="6">
        <f>_xlfn.MINIFS(Precos!$E:$E, Precos!$A:$A, B39)/1000*C39</f>
        <v>0.52</v>
      </c>
    </row>
    <row r="40" spans="1:5" ht="16.8" customHeight="1" x14ac:dyDescent="0.25">
      <c r="A40" s="12"/>
      <c r="B40" t="s">
        <v>8</v>
      </c>
      <c r="C40" s="9">
        <v>60</v>
      </c>
      <c r="D40" s="6">
        <f>_xlfn.MINIFS(Precos!$E:$E, Precos!$A:$A, B40)/1000*C40</f>
        <v>0.1188</v>
      </c>
    </row>
    <row r="41" spans="1:5" ht="16.8" customHeight="1" x14ac:dyDescent="0.25">
      <c r="A41" s="12"/>
      <c r="B41" t="s">
        <v>17</v>
      </c>
      <c r="C41" s="9">
        <v>80</v>
      </c>
      <c r="D41" s="6">
        <f>_xlfn.MINIFS(Precos!$E:$E, Precos!$A:$A, B41)/1000*C41</f>
        <v>0</v>
      </c>
    </row>
    <row r="42" spans="1:5" ht="16.8" customHeight="1" x14ac:dyDescent="0.25">
      <c r="A42" s="12"/>
      <c r="B42" t="s">
        <v>19</v>
      </c>
      <c r="C42" s="9">
        <v>140</v>
      </c>
      <c r="D42" s="6">
        <f>_xlfn.MINIFS(Precos!$E:$E, Precos!$A:$A, B42)/1000*C42</f>
        <v>3.6259999999999999</v>
      </c>
      <c r="E42" t="s">
        <v>38</v>
      </c>
    </row>
    <row r="43" spans="1:5" ht="16.8" customHeight="1" x14ac:dyDescent="0.25">
      <c r="A43" s="13"/>
      <c r="B43" t="s">
        <v>12</v>
      </c>
      <c r="C43" s="9">
        <v>20</v>
      </c>
      <c r="D43" s="6">
        <f>_xlfn.MINIFS(Precos!$E:$E, Precos!$A:$A, B43)/1000*C43</f>
        <v>0.6</v>
      </c>
      <c r="E43" s="6">
        <f>SUM(D37:D43)</f>
        <v>5.4217999999999993</v>
      </c>
    </row>
    <row r="44" spans="1:5" x14ac:dyDescent="0.3">
      <c r="A44" s="7">
        <v>1</v>
      </c>
      <c r="B44" s="2"/>
      <c r="C44" s="10"/>
      <c r="D44" s="2"/>
    </row>
    <row r="45" spans="1:5" ht="16.8" customHeight="1" x14ac:dyDescent="0.25">
      <c r="A45" s="11" t="s">
        <v>33</v>
      </c>
      <c r="B45" t="s">
        <v>10</v>
      </c>
      <c r="C45" s="9">
        <v>13</v>
      </c>
      <c r="D45" s="6">
        <f>_xlfn.MINIFS(Precos!$E:$E, Precos!$A:$A, B45)/1000*C45</f>
        <v>0.25740000000000002</v>
      </c>
    </row>
    <row r="46" spans="1:5" ht="16.8" customHeight="1" x14ac:dyDescent="0.25">
      <c r="A46" s="12"/>
      <c r="B46" t="s">
        <v>6</v>
      </c>
      <c r="C46" s="9">
        <v>70</v>
      </c>
      <c r="D46" s="6">
        <f>_xlfn.MINIFS(Precos!$E:$E, Precos!$A:$A, B46)/1000*C46</f>
        <v>0.29959999999999998</v>
      </c>
    </row>
    <row r="47" spans="1:5" ht="16.8" customHeight="1" x14ac:dyDescent="0.25">
      <c r="A47" s="12"/>
      <c r="B47" t="s">
        <v>16</v>
      </c>
      <c r="C47" s="9">
        <v>80</v>
      </c>
      <c r="D47" s="6">
        <f>_xlfn.MINIFS(Precos!$E:$E, Precos!$A:$A, B47)/300*C47</f>
        <v>1.7333333333333334</v>
      </c>
    </row>
    <row r="48" spans="1:5" ht="16.8" customHeight="1" x14ac:dyDescent="0.25">
      <c r="A48" s="12"/>
      <c r="B48" t="s">
        <v>8</v>
      </c>
      <c r="C48" s="9">
        <v>60</v>
      </c>
      <c r="D48" s="6">
        <f>_xlfn.MINIFS(Precos!$E:$E, Precos!$A:$A, B48)/1000*C48</f>
        <v>0.1188</v>
      </c>
    </row>
    <row r="49" spans="1:5" ht="16.8" customHeight="1" x14ac:dyDescent="0.25">
      <c r="A49" s="12"/>
      <c r="B49" t="s">
        <v>17</v>
      </c>
      <c r="C49" s="9">
        <v>80</v>
      </c>
      <c r="D49" s="6">
        <f>_xlfn.MINIFS(Precos!$E:$E, Precos!$A:$A, B49)/1000*C49</f>
        <v>0</v>
      </c>
    </row>
    <row r="50" spans="1:5" ht="16.8" customHeight="1" x14ac:dyDescent="0.25">
      <c r="A50" s="12"/>
      <c r="B50" t="s">
        <v>29</v>
      </c>
      <c r="C50" s="9">
        <v>140</v>
      </c>
      <c r="D50" s="6">
        <f>_xlfn.MINIFS(Precos!$E:$E, Precos!$A:$A, B50)/1000*C50</f>
        <v>0</v>
      </c>
      <c r="E50" t="s">
        <v>38</v>
      </c>
    </row>
    <row r="51" spans="1:5" ht="16.8" customHeight="1" x14ac:dyDescent="0.25">
      <c r="A51" s="13"/>
      <c r="B51" t="s">
        <v>12</v>
      </c>
      <c r="C51" s="9">
        <v>20</v>
      </c>
      <c r="D51" s="6">
        <f>_xlfn.MINIFS(Precos!$E:$E, Precos!$A:$A, B51)/1000*C51</f>
        <v>0.6</v>
      </c>
      <c r="E51" s="6">
        <f>SUM(D45:D51)</f>
        <v>3.0091333333333332</v>
      </c>
    </row>
    <row r="52" spans="1:5" x14ac:dyDescent="0.3">
      <c r="A52" s="7">
        <v>1</v>
      </c>
      <c r="B52" s="2"/>
      <c r="C52" s="10"/>
      <c r="D52" s="8"/>
    </row>
    <row r="53" spans="1:5" ht="16.8" customHeight="1" x14ac:dyDescent="0.25">
      <c r="A53" s="11" t="s">
        <v>34</v>
      </c>
      <c r="B53" t="s">
        <v>18</v>
      </c>
      <c r="C53" s="9">
        <v>50</v>
      </c>
      <c r="D53" s="6">
        <f>_xlfn.MINIFS(Precos!$E:$E, Precos!$A:$A, B53)/1000*C53</f>
        <v>0.27450000000000002</v>
      </c>
    </row>
    <row r="54" spans="1:5" ht="16.8" customHeight="1" x14ac:dyDescent="0.25">
      <c r="A54" s="12"/>
      <c r="B54" t="s">
        <v>10</v>
      </c>
      <c r="C54" s="9">
        <v>10</v>
      </c>
      <c r="D54" s="6">
        <f>_xlfn.MINIFS(Precos!$E:$E, Precos!$A:$A, B54)/1000*C54</f>
        <v>0.19800000000000001</v>
      </c>
    </row>
    <row r="55" spans="1:5" ht="16.8" customHeight="1" x14ac:dyDescent="0.25">
      <c r="A55" s="12"/>
      <c r="B55" t="s">
        <v>19</v>
      </c>
      <c r="C55" s="9">
        <v>100</v>
      </c>
      <c r="D55" s="6">
        <f>_xlfn.MINIFS(Precos!$E:$E, Precos!$A:$A, B55)/1000*C55</f>
        <v>2.59</v>
      </c>
    </row>
    <row r="56" spans="1:5" ht="16.8" customHeight="1" x14ac:dyDescent="0.25">
      <c r="A56" s="12"/>
      <c r="B56" t="s">
        <v>8</v>
      </c>
      <c r="C56" s="9">
        <v>30</v>
      </c>
      <c r="D56" s="6">
        <f>_xlfn.MINIFS(Precos!$E:$E, Precos!$A:$A, B56)/1000*C56</f>
        <v>5.9400000000000001E-2</v>
      </c>
    </row>
    <row r="57" spans="1:5" ht="16.8" customHeight="1" x14ac:dyDescent="0.25">
      <c r="A57" s="12"/>
      <c r="B57" t="s">
        <v>7</v>
      </c>
      <c r="C57" s="9">
        <v>50</v>
      </c>
      <c r="D57" s="6">
        <f>_xlfn.MINIFS(Precos!$E:$E, Precos!$A:$A, B57)/1000*C57</f>
        <v>0.19900000000000001</v>
      </c>
    </row>
    <row r="58" spans="1:5" ht="16.8" customHeight="1" x14ac:dyDescent="0.25">
      <c r="A58" s="12"/>
      <c r="B58" t="s">
        <v>13</v>
      </c>
      <c r="C58" s="9">
        <v>10</v>
      </c>
      <c r="D58" s="6">
        <f>_xlfn.MINIFS(Precos!$E:$E, Precos!$A:$A, B58)/200*C58</f>
        <v>0.14950000000000002</v>
      </c>
    </row>
    <row r="59" spans="1:5" ht="16.8" customHeight="1" x14ac:dyDescent="0.25">
      <c r="A59" s="12"/>
      <c r="B59" t="s">
        <v>35</v>
      </c>
      <c r="C59" s="9">
        <v>90</v>
      </c>
      <c r="D59" s="6">
        <f>_xlfn.MINIFS(Precos!$E:$E, Precos!$A:$A, B59)/1000*C59</f>
        <v>0.36809999999999998</v>
      </c>
    </row>
    <row r="60" spans="1:5" ht="16.8" customHeight="1" x14ac:dyDescent="0.25">
      <c r="A60" s="12"/>
      <c r="B60" t="s">
        <v>24</v>
      </c>
      <c r="C60" s="9">
        <v>10</v>
      </c>
      <c r="D60" s="6">
        <f>_xlfn.MINIFS(Precos!$E:$E, Precos!$A:$A, B60)/200*C60</f>
        <v>0.67500000000000004</v>
      </c>
      <c r="E60" t="s">
        <v>38</v>
      </c>
    </row>
    <row r="61" spans="1:5" ht="16.8" customHeight="1" x14ac:dyDescent="0.25">
      <c r="A61" s="13"/>
      <c r="B61" t="s">
        <v>20</v>
      </c>
      <c r="C61" s="9">
        <v>50</v>
      </c>
      <c r="D61" s="6">
        <f>_xlfn.MINIFS(Precos!$E:$E, Precos!$A:$A, B61)/500*C61</f>
        <v>0.22899999999999998</v>
      </c>
      <c r="E61" s="6">
        <f>SUM(D53:D61)</f>
        <v>4.7425000000000006</v>
      </c>
    </row>
    <row r="62" spans="1:5" ht="18.600000000000001" customHeight="1" x14ac:dyDescent="0.3">
      <c r="A62" s="7">
        <v>1</v>
      </c>
      <c r="B62" s="2"/>
      <c r="C62" s="10"/>
      <c r="D62" s="8"/>
    </row>
    <row r="63" spans="1:5" ht="16.8" customHeight="1" x14ac:dyDescent="0.25">
      <c r="A63" s="11" t="s">
        <v>39</v>
      </c>
      <c r="B63" t="s">
        <v>18</v>
      </c>
      <c r="C63" s="9">
        <v>50</v>
      </c>
      <c r="D63" s="6">
        <f>_xlfn.MINIFS(Precos!$E:$E, Precos!$A:$A, B63)/1000*C63</f>
        <v>0.27450000000000002</v>
      </c>
    </row>
    <row r="64" spans="1:5" ht="16.8" customHeight="1" x14ac:dyDescent="0.25">
      <c r="A64" s="12"/>
      <c r="B64" t="s">
        <v>10</v>
      </c>
      <c r="C64" s="9">
        <v>10</v>
      </c>
      <c r="D64" s="6">
        <f>_xlfn.MINIFS(Precos!$E:$E, Precos!$A:$A, B64)/1000*C64</f>
        <v>0.19800000000000001</v>
      </c>
    </row>
    <row r="65" spans="1:5" ht="16.8" customHeight="1" x14ac:dyDescent="0.25">
      <c r="A65" s="12"/>
      <c r="B65" t="s">
        <v>37</v>
      </c>
      <c r="C65" s="9">
        <v>100</v>
      </c>
      <c r="D65" s="6">
        <f>_xlfn.MINIFS(Precos!$E:$E, Precos!$A:$A, B65)/1000*C65</f>
        <v>1.7000000000000002</v>
      </c>
    </row>
    <row r="66" spans="1:5" ht="16.8" customHeight="1" x14ac:dyDescent="0.25">
      <c r="A66" s="12"/>
      <c r="B66" t="s">
        <v>8</v>
      </c>
      <c r="C66" s="9">
        <v>30</v>
      </c>
      <c r="D66" s="6">
        <f>_xlfn.MINIFS(Precos!$E:$E, Precos!$A:$A, B66)/1000*C66</f>
        <v>5.9400000000000001E-2</v>
      </c>
    </row>
    <row r="67" spans="1:5" ht="16.8" customHeight="1" x14ac:dyDescent="0.25">
      <c r="A67" s="12"/>
      <c r="B67" t="s">
        <v>7</v>
      </c>
      <c r="C67" s="9">
        <v>50</v>
      </c>
      <c r="D67" s="6">
        <f>_xlfn.MINIFS(Precos!$E:$E, Precos!$A:$A, B67)/1000*C67</f>
        <v>0.19900000000000001</v>
      </c>
    </row>
    <row r="68" spans="1:5" ht="16.8" customHeight="1" x14ac:dyDescent="0.25">
      <c r="A68" s="12"/>
      <c r="B68" t="s">
        <v>13</v>
      </c>
      <c r="C68" s="9">
        <v>10</v>
      </c>
      <c r="D68" s="6">
        <f>_xlfn.MINIFS(Precos!$E:$E, Precos!$A:$A, B68)/200*C68</f>
        <v>0.14950000000000002</v>
      </c>
    </row>
    <row r="69" spans="1:5" ht="16.8" customHeight="1" x14ac:dyDescent="0.25">
      <c r="A69" s="12"/>
      <c r="B69" t="s">
        <v>35</v>
      </c>
      <c r="C69" s="9">
        <v>90</v>
      </c>
      <c r="D69" s="6">
        <f>_xlfn.MINIFS(Precos!$E:$E, Precos!$A:$A, B69)/1000*C69</f>
        <v>0.36809999999999998</v>
      </c>
    </row>
    <row r="70" spans="1:5" ht="16.8" customHeight="1" x14ac:dyDescent="0.25">
      <c r="A70" s="12"/>
      <c r="B70" t="s">
        <v>24</v>
      </c>
      <c r="C70" s="9">
        <v>10</v>
      </c>
      <c r="D70" s="6">
        <f>_xlfn.MINIFS(Precos!$E:$E, Precos!$A:$A, B70)/200*C70</f>
        <v>0.67500000000000004</v>
      </c>
      <c r="E70" t="s">
        <v>38</v>
      </c>
    </row>
    <row r="71" spans="1:5" ht="16.8" customHeight="1" x14ac:dyDescent="0.25">
      <c r="A71" s="13"/>
      <c r="B71" t="s">
        <v>20</v>
      </c>
      <c r="C71" s="9">
        <v>50</v>
      </c>
      <c r="D71" s="6">
        <f>_xlfn.MINIFS(Precos!$E:$E, Precos!$A:$A, B71)/500*C71</f>
        <v>0.22899999999999998</v>
      </c>
      <c r="E71" s="6">
        <f>SUM(D63:D71)</f>
        <v>3.8525000000000009</v>
      </c>
    </row>
    <row r="72" spans="1:5" x14ac:dyDescent="0.3">
      <c r="A72" s="7">
        <v>1</v>
      </c>
      <c r="B72" s="2"/>
      <c r="C72" s="10"/>
      <c r="D72" s="8"/>
    </row>
    <row r="73" spans="1:5" ht="16.8" customHeight="1" x14ac:dyDescent="0.25">
      <c r="A73" s="11" t="s">
        <v>40</v>
      </c>
      <c r="B73" t="s">
        <v>18</v>
      </c>
      <c r="C73" s="9">
        <v>50</v>
      </c>
      <c r="D73" s="6">
        <f>_xlfn.MINIFS(Precos!$E:$E, Precos!$A:$A, B73)/1000*C73</f>
        <v>0.27450000000000002</v>
      </c>
    </row>
    <row r="74" spans="1:5" ht="16.8" customHeight="1" x14ac:dyDescent="0.25">
      <c r="A74" s="12"/>
      <c r="B74" t="s">
        <v>10</v>
      </c>
      <c r="C74" s="9">
        <v>10</v>
      </c>
      <c r="D74" s="6">
        <f>_xlfn.MINIFS(Precos!$E:$E, Precos!$A:$A, B74)/1000*C74</f>
        <v>0.19800000000000001</v>
      </c>
    </row>
    <row r="75" spans="1:5" ht="16.8" customHeight="1" x14ac:dyDescent="0.25">
      <c r="A75" s="12"/>
      <c r="B75" t="s">
        <v>29</v>
      </c>
      <c r="C75" s="9">
        <v>100</v>
      </c>
      <c r="D75" s="6">
        <f>_xlfn.MINIFS(Precos!$E:$E, Precos!$A:$A, B75)/1000*C75</f>
        <v>0</v>
      </c>
    </row>
    <row r="76" spans="1:5" ht="16.8" customHeight="1" x14ac:dyDescent="0.25">
      <c r="A76" s="12"/>
      <c r="B76" t="s">
        <v>8</v>
      </c>
      <c r="C76" s="9">
        <v>30</v>
      </c>
      <c r="D76" s="6">
        <f>_xlfn.MINIFS(Precos!$E:$E, Precos!$A:$A, B76)/1000*C76</f>
        <v>5.9400000000000001E-2</v>
      </c>
    </row>
    <row r="77" spans="1:5" ht="16.8" customHeight="1" x14ac:dyDescent="0.25">
      <c r="A77" s="12"/>
      <c r="B77" t="s">
        <v>7</v>
      </c>
      <c r="C77" s="9">
        <v>50</v>
      </c>
      <c r="D77" s="6">
        <f>_xlfn.MINIFS(Precos!$E:$E, Precos!$A:$A, B77)/1000*C77</f>
        <v>0.19900000000000001</v>
      </c>
    </row>
    <row r="78" spans="1:5" ht="16.8" customHeight="1" x14ac:dyDescent="0.25">
      <c r="A78" s="12"/>
      <c r="B78" t="s">
        <v>13</v>
      </c>
      <c r="C78" s="9">
        <v>10</v>
      </c>
      <c r="D78" s="6">
        <f>_xlfn.MINIFS(Precos!$E:$E, Precos!$A:$A, B78)/200*C78</f>
        <v>0.14950000000000002</v>
      </c>
    </row>
    <row r="79" spans="1:5" ht="16.8" customHeight="1" x14ac:dyDescent="0.25">
      <c r="A79" s="12"/>
      <c r="B79" t="s">
        <v>35</v>
      </c>
      <c r="C79" s="9">
        <v>90</v>
      </c>
      <c r="D79" s="6">
        <f>_xlfn.MINIFS(Precos!$E:$E, Precos!$A:$A, B79)/1000*C79</f>
        <v>0.36809999999999998</v>
      </c>
    </row>
    <row r="80" spans="1:5" ht="16.8" customHeight="1" x14ac:dyDescent="0.25">
      <c r="A80" s="12"/>
      <c r="B80" t="s">
        <v>24</v>
      </c>
      <c r="C80" s="9">
        <v>10</v>
      </c>
      <c r="D80" s="6">
        <f>_xlfn.MINIFS(Precos!$E:$E, Precos!$A:$A, B80)/200*C80</f>
        <v>0.67500000000000004</v>
      </c>
      <c r="E80" t="s">
        <v>38</v>
      </c>
    </row>
    <row r="81" spans="1:5" ht="16.8" customHeight="1" x14ac:dyDescent="0.25">
      <c r="A81" s="13"/>
      <c r="B81" t="s">
        <v>20</v>
      </c>
      <c r="C81" s="9">
        <v>50</v>
      </c>
      <c r="D81" s="6">
        <f>_xlfn.MINIFS(Precos!$E:$E, Precos!$A:$A, B81)/500*C81</f>
        <v>0.22899999999999998</v>
      </c>
      <c r="E81" s="6">
        <f>SUM(D73:D81)</f>
        <v>2.1524999999999999</v>
      </c>
    </row>
    <row r="82" spans="1:5" x14ac:dyDescent="0.3">
      <c r="A82" s="7">
        <v>1</v>
      </c>
      <c r="B82" s="2"/>
      <c r="C82" s="10"/>
      <c r="D82" s="8"/>
    </row>
  </sheetData>
  <mergeCells count="9">
    <mergeCell ref="A53:A61"/>
    <mergeCell ref="A63:A71"/>
    <mergeCell ref="A73:A81"/>
    <mergeCell ref="A2:A9"/>
    <mergeCell ref="A11:A18"/>
    <mergeCell ref="A20:A27"/>
    <mergeCell ref="A29:A35"/>
    <mergeCell ref="A37:A43"/>
    <mergeCell ref="A45:A5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B7D0-D6DD-4BD3-ABBC-766C4BD529C3}">
  <sheetPr codeName="Planilha2"/>
  <dimension ref="A1:E21"/>
  <sheetViews>
    <sheetView workbookViewId="0">
      <selection activeCell="G25" sqref="G25"/>
    </sheetView>
  </sheetViews>
  <sheetFormatPr defaultRowHeight="13.8" x14ac:dyDescent="0.25"/>
  <cols>
    <col min="1" max="1" width="16.33203125" customWidth="1"/>
    <col min="2" max="2" width="15.33203125" customWidth="1"/>
    <col min="3" max="3" width="12.44140625" customWidth="1"/>
    <col min="4" max="4" width="10.6640625" customWidth="1"/>
    <col min="5" max="5" width="15" bestFit="1" customWidth="1"/>
  </cols>
  <sheetData>
    <row r="1" spans="1:5" x14ac:dyDescent="0.25">
      <c r="A1" t="s">
        <v>2</v>
      </c>
      <c r="B1" t="s">
        <v>5</v>
      </c>
      <c r="C1" t="s">
        <v>21</v>
      </c>
      <c r="D1" t="s">
        <v>22</v>
      </c>
      <c r="E1" t="s">
        <v>30</v>
      </c>
    </row>
    <row r="2" spans="1:5" x14ac:dyDescent="0.25">
      <c r="A2" t="s">
        <v>18</v>
      </c>
      <c r="B2" s="1">
        <v>5.49</v>
      </c>
      <c r="C2" s="1">
        <v>6.99</v>
      </c>
      <c r="D2" s="1">
        <v>5.98</v>
      </c>
      <c r="E2" s="5">
        <f>MIN($B2:$D2)</f>
        <v>5.49</v>
      </c>
    </row>
    <row r="3" spans="1:5" x14ac:dyDescent="0.25">
      <c r="A3" t="s">
        <v>10</v>
      </c>
      <c r="B3" s="1">
        <v>32</v>
      </c>
      <c r="C3" s="1">
        <v>25.99</v>
      </c>
      <c r="D3" s="1">
        <v>19.8</v>
      </c>
      <c r="E3" s="5">
        <f t="shared" ref="E3:E21" si="0">MIN($B3:$D3)</f>
        <v>19.8</v>
      </c>
    </row>
    <row r="4" spans="1:5" x14ac:dyDescent="0.25">
      <c r="A4" t="s">
        <v>6</v>
      </c>
      <c r="B4" s="1">
        <v>4.75</v>
      </c>
      <c r="C4" s="1">
        <v>5</v>
      </c>
      <c r="D4" s="1">
        <v>4.28</v>
      </c>
      <c r="E4" s="5">
        <f t="shared" si="0"/>
        <v>4.28</v>
      </c>
    </row>
    <row r="5" spans="1:5" x14ac:dyDescent="0.25">
      <c r="A5" t="s">
        <v>9</v>
      </c>
      <c r="B5" s="1">
        <v>3.98</v>
      </c>
      <c r="C5" s="1">
        <v>3.98</v>
      </c>
      <c r="D5" s="1">
        <v>2.98</v>
      </c>
      <c r="E5" s="5">
        <f t="shared" si="0"/>
        <v>2.98</v>
      </c>
    </row>
    <row r="6" spans="1:5" x14ac:dyDescent="0.25">
      <c r="A6" t="s">
        <v>16</v>
      </c>
      <c r="B6" s="1">
        <v>6.5</v>
      </c>
      <c r="C6" s="1"/>
      <c r="D6" s="1"/>
      <c r="E6" s="5">
        <f t="shared" si="0"/>
        <v>6.5</v>
      </c>
    </row>
    <row r="7" spans="1:5" x14ac:dyDescent="0.25">
      <c r="A7" t="s">
        <v>19</v>
      </c>
      <c r="B7" s="1">
        <v>34.99</v>
      </c>
      <c r="C7" s="1">
        <v>25.9</v>
      </c>
      <c r="D7" s="1">
        <v>34.99</v>
      </c>
      <c r="E7" s="5">
        <f t="shared" si="0"/>
        <v>25.9</v>
      </c>
    </row>
    <row r="8" spans="1:5" x14ac:dyDescent="0.25">
      <c r="A8" t="s">
        <v>8</v>
      </c>
      <c r="B8" s="1">
        <v>2.6</v>
      </c>
      <c r="C8" s="1">
        <v>2.79</v>
      </c>
      <c r="D8" s="1">
        <v>1.98</v>
      </c>
      <c r="E8" s="5">
        <f t="shared" si="0"/>
        <v>1.98</v>
      </c>
    </row>
    <row r="9" spans="1:5" x14ac:dyDescent="0.25">
      <c r="A9" t="s">
        <v>7</v>
      </c>
      <c r="B9" s="1">
        <v>4.59</v>
      </c>
      <c r="C9" s="1">
        <v>4.79</v>
      </c>
      <c r="D9" s="1">
        <v>3.98</v>
      </c>
      <c r="E9" s="5">
        <f t="shared" si="0"/>
        <v>3.98</v>
      </c>
    </row>
    <row r="10" spans="1:5" x14ac:dyDescent="0.25">
      <c r="A10" t="s">
        <v>17</v>
      </c>
      <c r="B10" s="1"/>
      <c r="C10" s="1"/>
      <c r="D10" s="1"/>
      <c r="E10" s="5">
        <f t="shared" si="0"/>
        <v>0</v>
      </c>
    </row>
    <row r="11" spans="1:5" x14ac:dyDescent="0.25">
      <c r="A11" t="s">
        <v>13</v>
      </c>
      <c r="B11" s="1">
        <v>3.99</v>
      </c>
      <c r="C11" s="1">
        <v>4.1900000000000004</v>
      </c>
      <c r="D11" s="1">
        <v>2.99</v>
      </c>
      <c r="E11" s="5">
        <f t="shared" si="0"/>
        <v>2.99</v>
      </c>
    </row>
    <row r="12" spans="1:5" x14ac:dyDescent="0.25">
      <c r="A12" t="s">
        <v>23</v>
      </c>
      <c r="B12" s="1"/>
      <c r="C12" s="1"/>
      <c r="D12" s="1">
        <v>4</v>
      </c>
      <c r="E12" s="5">
        <f t="shared" si="0"/>
        <v>4</v>
      </c>
    </row>
    <row r="13" spans="1:5" x14ac:dyDescent="0.25">
      <c r="A13" t="s">
        <v>14</v>
      </c>
      <c r="B13" s="1">
        <v>23.98</v>
      </c>
      <c r="C13" s="1">
        <v>23.99</v>
      </c>
      <c r="D13" s="1">
        <v>19.98</v>
      </c>
      <c r="E13" s="5">
        <f t="shared" si="0"/>
        <v>19.98</v>
      </c>
    </row>
    <row r="14" spans="1:5" x14ac:dyDescent="0.25">
      <c r="A14" t="s">
        <v>15</v>
      </c>
      <c r="B14" s="1">
        <v>4.49</v>
      </c>
      <c r="C14" s="1">
        <v>6</v>
      </c>
      <c r="D14" s="1">
        <v>4.28</v>
      </c>
      <c r="E14" s="5">
        <f t="shared" si="0"/>
        <v>4.28</v>
      </c>
    </row>
    <row r="15" spans="1:5" x14ac:dyDescent="0.25">
      <c r="A15" t="s">
        <v>37</v>
      </c>
      <c r="B15" s="1">
        <v>17</v>
      </c>
      <c r="C15" s="1">
        <v>17.899999999999999</v>
      </c>
      <c r="D15" s="1">
        <v>17.989999999999998</v>
      </c>
      <c r="E15" s="5">
        <f t="shared" si="0"/>
        <v>17</v>
      </c>
    </row>
    <row r="16" spans="1:5" x14ac:dyDescent="0.25">
      <c r="A16" t="s">
        <v>35</v>
      </c>
      <c r="B16" s="1"/>
      <c r="C16" s="1">
        <v>4.09</v>
      </c>
      <c r="D16" s="1"/>
      <c r="E16" s="5">
        <f t="shared" si="0"/>
        <v>4.09</v>
      </c>
    </row>
    <row r="17" spans="1:5" x14ac:dyDescent="0.25">
      <c r="A17" t="s">
        <v>24</v>
      </c>
      <c r="B17" s="1">
        <v>13.5</v>
      </c>
      <c r="C17" s="1">
        <v>13.6</v>
      </c>
      <c r="D17" s="1"/>
      <c r="E17" s="5">
        <f t="shared" si="0"/>
        <v>13.5</v>
      </c>
    </row>
    <row r="18" spans="1:5" x14ac:dyDescent="0.25">
      <c r="A18" t="s">
        <v>20</v>
      </c>
      <c r="B18" s="1">
        <v>2.89</v>
      </c>
      <c r="C18" s="1">
        <v>2.29</v>
      </c>
      <c r="D18" s="1"/>
      <c r="E18" s="5">
        <f t="shared" si="0"/>
        <v>2.29</v>
      </c>
    </row>
    <row r="19" spans="1:5" x14ac:dyDescent="0.25">
      <c r="A19" t="s">
        <v>12</v>
      </c>
      <c r="B19" s="1">
        <v>30</v>
      </c>
      <c r="C19" s="1">
        <v>49.5</v>
      </c>
      <c r="D19" s="1"/>
      <c r="E19" s="5">
        <f t="shared" si="0"/>
        <v>30</v>
      </c>
    </row>
    <row r="20" spans="1:5" x14ac:dyDescent="0.25">
      <c r="A20" t="s">
        <v>36</v>
      </c>
      <c r="B20" s="1">
        <v>8.2899999999999991</v>
      </c>
      <c r="C20" s="1">
        <v>8.65</v>
      </c>
      <c r="D20" s="1"/>
      <c r="E20" s="5">
        <f t="shared" si="0"/>
        <v>8.2899999999999991</v>
      </c>
    </row>
    <row r="21" spans="1:5" x14ac:dyDescent="0.25">
      <c r="A21" t="s">
        <v>11</v>
      </c>
      <c r="B21" s="1">
        <v>4.9800000000000004</v>
      </c>
      <c r="C21" s="1">
        <v>4</v>
      </c>
      <c r="D21" s="1">
        <v>2.98</v>
      </c>
      <c r="E21" s="5">
        <f t="shared" si="0"/>
        <v>2.98</v>
      </c>
    </row>
  </sheetData>
  <sortState xmlns:xlrd2="http://schemas.microsoft.com/office/spreadsheetml/2017/richdata2" ref="A2:D21">
    <sortCondition ref="A1:A21"/>
  </sortState>
  <conditionalFormatting sqref="A2:D2 F2:XFD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:D3 F3:XFD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:D4 F4:XFD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D5 F5:XFD5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:D6 F6:XFD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:D7 F7:XFD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:D8 F8:XFD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:D9 F9:XFD9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:D10 F10:XFD1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1:D11 F11:XFD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:D12 F12:XFD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:D13 F13:XFD13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D14 F14:XFD1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5:D15 F15:XFD1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:D16 F16:XFD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:D17 F17:XFD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:D18 F18:XFD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9:D19 F19:XFD1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D20 F20:XFD2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1:D21 F21:XFD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">
    <cfRule type="colorScale" priority="29">
      <colorScale>
        <cfvo type="min"/>
        <cfvo type="max"/>
        <color theme="9" tint="0.39997558519241921"/>
        <color rgb="FFFF8585"/>
      </colorScale>
    </cfRule>
  </conditionalFormatting>
  <conditionalFormatting sqref="B2:D21">
    <cfRule type="colorScale" priority="28">
      <colorScale>
        <cfvo type="min"/>
        <cfvo type="max"/>
        <color theme="9" tint="0.39997558519241921"/>
        <color rgb="FFFF8585"/>
      </colorScale>
    </cfRule>
  </conditionalFormatting>
  <conditionalFormatting sqref="A2:D2 F2:XFD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838E-E90E-4A9E-9BF2-324D54C2C376}">
  <sheetPr codeName="Planilha3"/>
  <dimension ref="A1:E22"/>
  <sheetViews>
    <sheetView tabSelected="1" workbookViewId="0">
      <selection activeCell="G23" sqref="G23"/>
    </sheetView>
  </sheetViews>
  <sheetFormatPr defaultRowHeight="13.8" x14ac:dyDescent="0.25"/>
  <cols>
    <col min="1" max="1" width="17" bestFit="1" customWidth="1"/>
    <col min="2" max="2" width="16" customWidth="1"/>
    <col min="3" max="3" width="13.5546875" customWidth="1"/>
    <col min="4" max="4" width="10.6640625" bestFit="1" customWidth="1"/>
  </cols>
  <sheetData>
    <row r="1" spans="1:4" x14ac:dyDescent="0.25">
      <c r="A1" t="s">
        <v>4</v>
      </c>
      <c r="B1" t="s">
        <v>3</v>
      </c>
      <c r="C1" t="s">
        <v>25</v>
      </c>
      <c r="D1" t="s">
        <v>1</v>
      </c>
    </row>
    <row r="2" spans="1:4" x14ac:dyDescent="0.25">
      <c r="A2" t="s">
        <v>18</v>
      </c>
      <c r="B2" t="str">
        <f>_xlfn.XLOOKUP(Precos!E2, Precos!B2:D2, Precos!$B$1:$D$1)</f>
        <v>Mar Vermelho</v>
      </c>
      <c r="C2">
        <f>SUMIF(Receitas!$B2:$B100, A2, Receitas!$C2:$C100)</f>
        <v>150</v>
      </c>
      <c r="D2" s="6">
        <f>Precos!E2*C2/1000</f>
        <v>0.82350000000000001</v>
      </c>
    </row>
    <row r="3" spans="1:4" x14ac:dyDescent="0.25">
      <c r="A3" t="s">
        <v>10</v>
      </c>
      <c r="B3" t="str">
        <f>_xlfn.XLOOKUP(Precos!E3, Precos!B3:D3, Precos!$B$1:$D$1)</f>
        <v>Mineirão</v>
      </c>
      <c r="C3">
        <f>SUMIF(Receitas!$B3:$B101, A3, Receitas!$C3:$C101)</f>
        <v>89</v>
      </c>
      <c r="D3" s="6">
        <f>Precos!E3*C3/1000</f>
        <v>1.7622</v>
      </c>
    </row>
    <row r="4" spans="1:4" x14ac:dyDescent="0.25">
      <c r="A4" t="s">
        <v>6</v>
      </c>
      <c r="B4" t="str">
        <f>_xlfn.XLOOKUP(Precos!E4, Precos!B4:D4, Precos!$B$1:$D$1)</f>
        <v>Mineirão</v>
      </c>
      <c r="C4">
        <f>SUMIF(Receitas!$B4:$B102, A4, Receitas!$C4:$C102)</f>
        <v>350</v>
      </c>
      <c r="D4" s="6">
        <f>Precos!E4*IF(C4&gt;1000,1*C4/1000,1)</f>
        <v>4.28</v>
      </c>
    </row>
    <row r="5" spans="1:4" x14ac:dyDescent="0.25">
      <c r="A5" t="s">
        <v>9</v>
      </c>
      <c r="B5" t="str">
        <f>_xlfn.XLOOKUP(Precos!E5, Precos!B5:D5, Precos!$B$1:$D$1)</f>
        <v>Mineirão</v>
      </c>
      <c r="C5">
        <f>SUMIF(Receitas!$B5:$B103, A5, Receitas!$C5:$C103)</f>
        <v>160</v>
      </c>
      <c r="D5" s="6">
        <f>Precos!E5*C5/1000</f>
        <v>0.4768</v>
      </c>
    </row>
    <row r="6" spans="1:4" x14ac:dyDescent="0.25">
      <c r="A6" t="s">
        <v>16</v>
      </c>
      <c r="B6" t="str">
        <f>_xlfn.XLOOKUP(Precos!E6, Precos!B6:D6, Precos!$B$1:$D$1)</f>
        <v>Mar Vermelho</v>
      </c>
      <c r="C6">
        <f>SUMIF(Receitas!$B6:$B104, A6, Receitas!$C6:$C104)</f>
        <v>240</v>
      </c>
      <c r="D6" s="6">
        <f>Precos!E6*C6/500</f>
        <v>3.12</v>
      </c>
    </row>
    <row r="7" spans="1:4" x14ac:dyDescent="0.25">
      <c r="A7" t="s">
        <v>19</v>
      </c>
      <c r="B7" t="str">
        <f>_xlfn.XLOOKUP(Precos!E7, Precos!B7:D7, Precos!$B$1:$D$1)</f>
        <v>Assaí</v>
      </c>
      <c r="C7">
        <f>SUMIF(Receitas!$B7:$B105, A7, Receitas!$C7:$C105)</f>
        <v>380</v>
      </c>
      <c r="D7" s="6">
        <f>Precos!E7*C7/1000</f>
        <v>9.8420000000000005</v>
      </c>
    </row>
    <row r="8" spans="1:4" x14ac:dyDescent="0.25">
      <c r="A8" t="s">
        <v>8</v>
      </c>
      <c r="B8" t="str">
        <f>_xlfn.XLOOKUP(Precos!E8, Precos!B8:D8, Precos!$B$1:$D$1)</f>
        <v>Mineirão</v>
      </c>
      <c r="C8">
        <f>SUMIF(Receitas!$B8:$B106, A8, Receitas!$C8:$C106)</f>
        <v>390</v>
      </c>
      <c r="D8" s="6">
        <f>Precos!E8*C8/1000</f>
        <v>0.7722</v>
      </c>
    </row>
    <row r="9" spans="1:4" x14ac:dyDescent="0.25">
      <c r="A9" t="s">
        <v>7</v>
      </c>
      <c r="B9" t="str">
        <f>_xlfn.XLOOKUP(Precos!E9, Precos!B9:D9, Precos!$B$1:$D$1)</f>
        <v>Mineirão</v>
      </c>
      <c r="C9">
        <f>SUMIF(Receitas!$B9:$B107, A9, Receitas!$C9:$C107)</f>
        <v>150</v>
      </c>
      <c r="D9" s="6">
        <f>Precos!E9*C9/1000</f>
        <v>0.59699999999999998</v>
      </c>
    </row>
    <row r="10" spans="1:4" x14ac:dyDescent="0.25">
      <c r="A10" t="s">
        <v>17</v>
      </c>
      <c r="B10" t="e">
        <f>_xlfn.XLOOKUP(Precos!E10, Precos!B10:D10, Precos!$B$1:$D$1)</f>
        <v>#N/A</v>
      </c>
      <c r="C10">
        <f>SUMIF(Receitas!$B10:$B108, A10, Receitas!$C10:$C108)</f>
        <v>240</v>
      </c>
      <c r="D10" s="6">
        <f>Precos!E10*C10/1000</f>
        <v>0</v>
      </c>
    </row>
    <row r="11" spans="1:4" x14ac:dyDescent="0.25">
      <c r="A11" t="s">
        <v>13</v>
      </c>
      <c r="B11" t="str">
        <f>_xlfn.XLOOKUP(Precos!E11, Precos!B11:D11, Precos!$B$1:$D$1)</f>
        <v>Mineirão</v>
      </c>
      <c r="C11">
        <f>SUMIF(Receitas!$B11:$B109, A11, Receitas!$C11:$C109)</f>
        <v>30</v>
      </c>
      <c r="D11" s="6">
        <f>Precos!E11*IF(C11&gt;200,1*C11/200,1)</f>
        <v>2.99</v>
      </c>
    </row>
    <row r="12" spans="1:4" x14ac:dyDescent="0.25">
      <c r="A12" t="s">
        <v>23</v>
      </c>
      <c r="B12" t="str">
        <f>_xlfn.XLOOKUP(Precos!E12, Precos!B12:D12, Precos!$B$1:$D$1)</f>
        <v>Mineirão</v>
      </c>
      <c r="C12">
        <f>SUMIF(Receitas!$B12:$B110, A12, Receitas!$C12:$C110)</f>
        <v>0</v>
      </c>
      <c r="D12" s="6">
        <f>Precos!E12*IF(C12&gt;1000,1*C12/1000,1)</f>
        <v>4</v>
      </c>
    </row>
    <row r="13" spans="1:4" x14ac:dyDescent="0.25">
      <c r="A13" t="s">
        <v>14</v>
      </c>
      <c r="B13" t="str">
        <f>_xlfn.XLOOKUP(Precos!E13, Precos!B13:D13, Precos!$B$1:$D$1)</f>
        <v>Mineirão</v>
      </c>
      <c r="C13">
        <f>SUMIF(Receitas!$B13:$B111, A13, Receitas!$C13:$C111)</f>
        <v>140</v>
      </c>
      <c r="D13" s="6">
        <f>Precos!E13*C13/1000</f>
        <v>2.7972000000000001</v>
      </c>
    </row>
    <row r="14" spans="1:4" x14ac:dyDescent="0.25">
      <c r="A14" t="s">
        <v>15</v>
      </c>
      <c r="B14" t="str">
        <f>_xlfn.XLOOKUP(Precos!E14, Precos!B14:D14, Precos!$B$1:$D$1)</f>
        <v>Mineirão</v>
      </c>
      <c r="C14">
        <f>SUMIF(Receitas!$B14:$B112, A14, Receitas!$C14:$C112)</f>
        <v>80</v>
      </c>
      <c r="D14" s="6">
        <f>Precos!E14*IF(C14&gt;1000,1*C14/1000,1)</f>
        <v>4.28</v>
      </c>
    </row>
    <row r="15" spans="1:4" x14ac:dyDescent="0.25">
      <c r="A15" t="s">
        <v>37</v>
      </c>
      <c r="B15" t="str">
        <f>_xlfn.XLOOKUP(Precos!E15, Precos!B15:D15, Precos!$B$1:$D$1)</f>
        <v>Mar Vermelho</v>
      </c>
      <c r="C15">
        <f>SUMIF(Receitas!$B15:$B113, A15, Receitas!$C15:$C113)</f>
        <v>100</v>
      </c>
      <c r="D15" s="6">
        <f>Precos!E15*C15/1000</f>
        <v>1.7</v>
      </c>
    </row>
    <row r="16" spans="1:4" x14ac:dyDescent="0.25">
      <c r="A16" t="s">
        <v>35</v>
      </c>
      <c r="B16" t="str">
        <f>_xlfn.XLOOKUP(Precos!E16, Precos!B16:D16, Precos!$B$1:$D$1)</f>
        <v>Assaí</v>
      </c>
      <c r="C16">
        <f>SUMIF(Receitas!$B16:$B114, A16, Receitas!$C16:$C114)</f>
        <v>270</v>
      </c>
      <c r="D16" s="6">
        <f>Precos!E16*IF(C16&gt;1000,1*C16/1000,1)</f>
        <v>4.09</v>
      </c>
    </row>
    <row r="17" spans="1:5" x14ac:dyDescent="0.25">
      <c r="A17" t="s">
        <v>24</v>
      </c>
      <c r="B17" t="str">
        <f>_xlfn.XLOOKUP(Precos!E17, Precos!B17:D17, Precos!$B$1:$D$1)</f>
        <v>Mar Vermelho</v>
      </c>
      <c r="C17">
        <f>SUMIF(Receitas!$B17:$B115, A17, Receitas!$C17:$C115)</f>
        <v>46</v>
      </c>
      <c r="D17" s="6">
        <f>Precos!E17*IF(C17&gt;200,1*C17/200,1)</f>
        <v>13.5</v>
      </c>
    </row>
    <row r="18" spans="1:5" x14ac:dyDescent="0.25">
      <c r="A18" t="s">
        <v>20</v>
      </c>
      <c r="B18" t="str">
        <f>_xlfn.XLOOKUP(Precos!E18, Precos!B18:D18, Precos!$B$1:$D$1)</f>
        <v>Assaí</v>
      </c>
      <c r="C18">
        <f>SUMIF(Receitas!$B18:$B116, A18, Receitas!$C18:$C116)</f>
        <v>150</v>
      </c>
      <c r="D18" s="6">
        <f>Precos!E18*IF(C18&gt;500,1*C18/500,1)</f>
        <v>2.29</v>
      </c>
    </row>
    <row r="19" spans="1:5" x14ac:dyDescent="0.25">
      <c r="A19" t="s">
        <v>12</v>
      </c>
      <c r="B19" t="str">
        <f>_xlfn.XLOOKUP(Precos!E19, Precos!B19:D19, Precos!$B$1:$D$1)</f>
        <v>Mar Vermelho</v>
      </c>
      <c r="C19">
        <f>SUMIF(Receitas!$B19:$B117, A19, Receitas!$C19:$C117)</f>
        <v>60</v>
      </c>
      <c r="D19" s="6">
        <f>Precos!E19*C19/1000</f>
        <v>1.8</v>
      </c>
    </row>
    <row r="20" spans="1:5" x14ac:dyDescent="0.25">
      <c r="A20" t="s">
        <v>36</v>
      </c>
      <c r="B20" t="str">
        <f>_xlfn.XLOOKUP(Precos!E20, Precos!B20:D20, Precos!$B$1:$D$1)</f>
        <v>Mar Vermelho</v>
      </c>
      <c r="C20">
        <f>SUMIF(Receitas!$B20:$B118, A20, Receitas!$C20:$C118)</f>
        <v>0</v>
      </c>
      <c r="D20" s="6">
        <f>Precos!E20*IF(C20&gt;1000,1*C20/1000,1)</f>
        <v>8.2899999999999991</v>
      </c>
    </row>
    <row r="21" spans="1:5" x14ac:dyDescent="0.25">
      <c r="A21" t="s">
        <v>11</v>
      </c>
      <c r="B21" t="str">
        <f>_xlfn.XLOOKUP(Precos!E21, Precos!B21:D21, Precos!$B$1:$D$1)</f>
        <v>Mineirão</v>
      </c>
      <c r="C21">
        <f>SUMIF(Receitas!$B21:$B119, A21, Receitas!$C21:$C119)</f>
        <v>80</v>
      </c>
      <c r="D21" s="6">
        <f>Precos!E21*C21/1000</f>
        <v>0.2384</v>
      </c>
    </row>
    <row r="22" spans="1:5" x14ac:dyDescent="0.25">
      <c r="D22" s="6">
        <f>SUM(D2:D21)</f>
        <v>67.649299999999997</v>
      </c>
      <c r="E22" t="s"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Receitas</vt:lpstr>
      <vt:lpstr>Precos</vt:lpstr>
      <vt:lpstr>ListaQuantidade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CABRAL</dc:creator>
  <cp:lastModifiedBy>Artur Furtado Cabral</cp:lastModifiedBy>
  <dcterms:created xsi:type="dcterms:W3CDTF">2015-06-05T18:19:34Z</dcterms:created>
  <dcterms:modified xsi:type="dcterms:W3CDTF">2026-04-10T18:14:20Z</dcterms:modified>
</cp:coreProperties>
</file>